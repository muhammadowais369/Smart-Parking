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name="MY_FUNCTION1">LAMBDA(IF((Sheet1!$F$2-Sheet1!$E$2)/60)*50)</definedName>
  </definedNames>
  <calcPr/>
</workbook>
</file>

<file path=xl/sharedStrings.xml><?xml version="1.0" encoding="utf-8"?>
<sst xmlns="http://schemas.openxmlformats.org/spreadsheetml/2006/main" count="101" uniqueCount="78">
  <si>
    <t>Serial No.</t>
  </si>
  <si>
    <t>Number Plate</t>
  </si>
  <si>
    <t>Transaction ID</t>
  </si>
  <si>
    <t>Parking Slot</t>
  </si>
  <si>
    <t>Entry Date &amp; Time</t>
  </si>
  <si>
    <t>Exit Date &amp; Time</t>
  </si>
  <si>
    <t>Parking Duration</t>
  </si>
  <si>
    <t>Paid Amount</t>
  </si>
  <si>
    <t>Payment Method</t>
  </si>
  <si>
    <t>Status</t>
  </si>
  <si>
    <t>ABC-1234</t>
  </si>
  <si>
    <t>TXN-7A8B9C</t>
  </si>
  <si>
    <t>A-01</t>
  </si>
  <si>
    <t>9 hours 15 min</t>
  </si>
  <si>
    <t>Online</t>
  </si>
  <si>
    <t>Exited</t>
  </si>
  <si>
    <t>XYZ-5678</t>
  </si>
  <si>
    <t>TXN-1D2E3F</t>
  </si>
  <si>
    <t>A-02</t>
  </si>
  <si>
    <t>4 hours 35 min</t>
  </si>
  <si>
    <t>Cash</t>
  </si>
  <si>
    <t>DEF-9012</t>
  </si>
  <si>
    <t>TXN-4G5H6I</t>
  </si>
  <si>
    <t>A-03</t>
  </si>
  <si>
    <t>Still Parked</t>
  </si>
  <si>
    <t>Ongoing</t>
  </si>
  <si>
    <t>Pending</t>
  </si>
  <si>
    <t>Parked</t>
  </si>
  <si>
    <t>GHI-3456</t>
  </si>
  <si>
    <t>TXN-7J8K9L</t>
  </si>
  <si>
    <t>A-04</t>
  </si>
  <si>
    <t>7 hours 40 min</t>
  </si>
  <si>
    <t>JKL-7890</t>
  </si>
  <si>
    <t>TXN-0M1N2O</t>
  </si>
  <si>
    <t>A-05</t>
  </si>
  <si>
    <t>MNO-1234</t>
  </si>
  <si>
    <t>TXN-3P4Q5R</t>
  </si>
  <si>
    <t>A-06</t>
  </si>
  <si>
    <t>1 hour 25 min</t>
  </si>
  <si>
    <t>PQR-5678</t>
  </si>
  <si>
    <t>TXN-6S7T8U</t>
  </si>
  <si>
    <t>A-07</t>
  </si>
  <si>
    <t>STU-9012</t>
  </si>
  <si>
    <t>TXN-9V0W1X</t>
  </si>
  <si>
    <t>A-08</t>
  </si>
  <si>
    <t>VWX-3456</t>
  </si>
  <si>
    <t>TXN-2Y3Z4A</t>
  </si>
  <si>
    <t>A-09</t>
  </si>
  <si>
    <t>2 hours 30 min</t>
  </si>
  <si>
    <t>YZA-7890</t>
  </si>
  <si>
    <t>TXN-5B6C7D</t>
  </si>
  <si>
    <t>A-10</t>
  </si>
  <si>
    <t>Hours</t>
  </si>
  <si>
    <t>Vehicles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</si>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</sst>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sz val="12.0"/>
      <color theme="1"/>
      <name val="Quote-cjk-patch"/>
    </font>
    <font>
      <sz val="12.0"/>
      <color theme="1"/>
      <name val="Arial"/>
    </font>
    <font>
      <sz val="12.0"/>
      <color rgb="FF0F1115"/>
      <name val="Quote-cjk-patch"/>
    </font>
    <font>
      <sz val="12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4" numFmtId="164" xfId="0" applyAlignment="1" applyBorder="1" applyFont="1" applyNumberFormat="1">
      <alignment readingOrder="0" shrinkToFit="0" vertical="center" wrapText="0"/>
    </xf>
    <xf borderId="1" fillId="2" fontId="3" numFmtId="164" xfId="0" applyAlignment="1" applyBorder="1" applyFont="1" applyNumberForma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0" fillId="2" fontId="4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Time-Series Analysis of Parking Occupancy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Sheet2!$B$1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Sheet2!$A$2:$A$25</c:f>
            </c:strRef>
          </c:cat>
          <c:val>
            <c:numRef>
              <c:f>Sheet2!$B$2:$B$25</c:f>
              <c:numCache/>
            </c:numRef>
          </c:val>
          <c:smooth val="1"/>
        </c:ser>
        <c:axId val="901118486"/>
        <c:axId val="773464167"/>
      </c:lineChart>
      <c:catAx>
        <c:axId val="901118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464167"/>
      </c:catAx>
      <c:valAx>
        <c:axId val="773464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Vehicles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111848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1</xdr:row>
      <xdr:rowOff>0</xdr:rowOff>
    </xdr:from>
    <xdr:ext cx="6334125" cy="3943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J11" displayName="Table1" name="Table1" id="1">
  <tableColumns count="10">
    <tableColumn name="Serial No." id="1"/>
    <tableColumn name="Number Plate" id="2"/>
    <tableColumn name="Transaction ID" id="3"/>
    <tableColumn name="Parking Slot" id="4"/>
    <tableColumn name="Entry Date &amp; Time" id="5"/>
    <tableColumn name="Exit Date &amp; Time" id="6"/>
    <tableColumn name="Parking Duration" id="7"/>
    <tableColumn name="Paid Amount" id="8"/>
    <tableColumn name="Payment Method" id="9"/>
    <tableColumn name="Status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7.75"/>
    <col customWidth="1" min="3" max="3" width="18.38"/>
    <col customWidth="1" min="4" max="4" width="16.25"/>
    <col customWidth="1" min="5" max="5" width="25.0"/>
    <col customWidth="1" min="6" max="6" width="20.88"/>
    <col customWidth="1" min="7" max="7" width="20.38"/>
    <col customWidth="1" min="8" max="8" width="16.13"/>
    <col customWidth="1" min="9" max="9" width="12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ht="22.5" customHeight="1">
      <c r="A2" s="3">
        <v>1.0</v>
      </c>
      <c r="B2" s="4" t="s">
        <v>10</v>
      </c>
      <c r="C2" s="4" t="s">
        <v>11</v>
      </c>
      <c r="D2" s="4" t="s">
        <v>12</v>
      </c>
      <c r="E2" s="5">
        <v>45225.34375</v>
      </c>
      <c r="F2" s="6">
        <v>45225.729166666664</v>
      </c>
      <c r="G2" s="7" t="s">
        <v>13</v>
      </c>
      <c r="H2" s="4">
        <f t="shared" ref="H2:H11" si="1">IF(J2="Parked", 0, ROUND((F2-E2)*24*50, 2))</f>
        <v>462.5</v>
      </c>
      <c r="I2" s="8" t="s">
        <v>14</v>
      </c>
      <c r="J2" s="8" t="s">
        <v>15</v>
      </c>
    </row>
    <row r="3" ht="22.5" customHeight="1">
      <c r="A3" s="3">
        <v>2.0</v>
      </c>
      <c r="B3" s="4" t="s">
        <v>16</v>
      </c>
      <c r="C3" s="4" t="s">
        <v>17</v>
      </c>
      <c r="D3" s="4" t="s">
        <v>18</v>
      </c>
      <c r="E3" s="6">
        <v>45225.40625</v>
      </c>
      <c r="F3" s="6">
        <v>45225.59722222222</v>
      </c>
      <c r="G3" s="4" t="s">
        <v>19</v>
      </c>
      <c r="H3" s="4">
        <f t="shared" si="1"/>
        <v>229.17</v>
      </c>
      <c r="I3" s="8" t="s">
        <v>20</v>
      </c>
      <c r="J3" s="8" t="s">
        <v>15</v>
      </c>
    </row>
    <row r="4" ht="22.5" customHeight="1">
      <c r="A4" s="3">
        <v>3.0</v>
      </c>
      <c r="B4" s="4" t="s">
        <v>21</v>
      </c>
      <c r="C4" s="4" t="s">
        <v>22</v>
      </c>
      <c r="D4" s="4" t="s">
        <v>23</v>
      </c>
      <c r="E4" s="6">
        <v>45225.46527777778</v>
      </c>
      <c r="F4" s="4" t="s">
        <v>24</v>
      </c>
      <c r="G4" s="4" t="s">
        <v>25</v>
      </c>
      <c r="H4" s="4">
        <f t="shared" si="1"/>
        <v>0</v>
      </c>
      <c r="I4" s="8" t="s">
        <v>26</v>
      </c>
      <c r="J4" s="8" t="s">
        <v>27</v>
      </c>
    </row>
    <row r="5" ht="22.5" customHeight="1">
      <c r="A5" s="3">
        <v>4.0</v>
      </c>
      <c r="B5" s="4" t="s">
        <v>28</v>
      </c>
      <c r="C5" s="4" t="s">
        <v>29</v>
      </c>
      <c r="D5" s="4" t="s">
        <v>30</v>
      </c>
      <c r="E5" s="6">
        <v>45225.50347222222</v>
      </c>
      <c r="F5" s="6">
        <v>45225.822916666664</v>
      </c>
      <c r="G5" s="4" t="s">
        <v>31</v>
      </c>
      <c r="H5" s="4">
        <f t="shared" si="1"/>
        <v>383.33</v>
      </c>
      <c r="I5" s="8" t="s">
        <v>14</v>
      </c>
      <c r="J5" s="8" t="s">
        <v>15</v>
      </c>
    </row>
    <row r="6" ht="22.5" customHeight="1">
      <c r="A6" s="3">
        <v>5.0</v>
      </c>
      <c r="B6" s="4" t="s">
        <v>32</v>
      </c>
      <c r="C6" s="4" t="s">
        <v>33</v>
      </c>
      <c r="D6" s="4" t="s">
        <v>34</v>
      </c>
      <c r="E6" s="6">
        <v>45225.5625</v>
      </c>
      <c r="F6" s="4" t="s">
        <v>24</v>
      </c>
      <c r="G6" s="4" t="s">
        <v>25</v>
      </c>
      <c r="H6" s="4">
        <f t="shared" si="1"/>
        <v>0</v>
      </c>
      <c r="I6" s="8" t="s">
        <v>26</v>
      </c>
      <c r="J6" s="8" t="s">
        <v>27</v>
      </c>
    </row>
    <row r="7" ht="22.5" customHeight="1">
      <c r="A7" s="3">
        <v>6.0</v>
      </c>
      <c r="B7" s="4" t="s">
        <v>35</v>
      </c>
      <c r="C7" s="4" t="s">
        <v>36</v>
      </c>
      <c r="D7" s="4" t="s">
        <v>37</v>
      </c>
      <c r="E7" s="6">
        <v>45225.63888888889</v>
      </c>
      <c r="F7" s="6">
        <v>45225.697916666664</v>
      </c>
      <c r="G7" s="4" t="s">
        <v>38</v>
      </c>
      <c r="H7" s="4">
        <f t="shared" si="1"/>
        <v>70.83</v>
      </c>
      <c r="I7" s="8" t="s">
        <v>20</v>
      </c>
      <c r="J7" s="8" t="s">
        <v>15</v>
      </c>
    </row>
    <row r="8" ht="22.5" customHeight="1">
      <c r="A8" s="3">
        <v>7.0</v>
      </c>
      <c r="B8" s="4" t="s">
        <v>39</v>
      </c>
      <c r="C8" s="4" t="s">
        <v>40</v>
      </c>
      <c r="D8" s="4" t="s">
        <v>41</v>
      </c>
      <c r="E8" s="6">
        <v>45225.70138888889</v>
      </c>
      <c r="F8" s="4" t="s">
        <v>24</v>
      </c>
      <c r="G8" s="4" t="s">
        <v>25</v>
      </c>
      <c r="H8" s="4">
        <f t="shared" si="1"/>
        <v>0</v>
      </c>
      <c r="I8" s="8" t="s">
        <v>26</v>
      </c>
      <c r="J8" s="8" t="s">
        <v>27</v>
      </c>
    </row>
    <row r="9" ht="22.5" customHeight="1">
      <c r="A9" s="3">
        <v>8.0</v>
      </c>
      <c r="B9" s="4" t="s">
        <v>42</v>
      </c>
      <c r="C9" s="4" t="s">
        <v>43</v>
      </c>
      <c r="D9" s="4" t="s">
        <v>44</v>
      </c>
      <c r="E9" s="6">
        <v>45225.75347222222</v>
      </c>
      <c r="F9" s="4" t="s">
        <v>24</v>
      </c>
      <c r="G9" s="4" t="s">
        <v>25</v>
      </c>
      <c r="H9" s="4">
        <f t="shared" si="1"/>
        <v>0</v>
      </c>
      <c r="I9" s="8" t="s">
        <v>26</v>
      </c>
      <c r="J9" s="8" t="s">
        <v>27</v>
      </c>
    </row>
    <row r="10" ht="22.5" customHeight="1">
      <c r="A10" s="3">
        <v>9.0</v>
      </c>
      <c r="B10" s="4" t="s">
        <v>45</v>
      </c>
      <c r="C10" s="4" t="s">
        <v>46</v>
      </c>
      <c r="D10" s="4" t="s">
        <v>47</v>
      </c>
      <c r="E10" s="6">
        <v>45225.416666666664</v>
      </c>
      <c r="F10" s="6">
        <v>45225.520833333336</v>
      </c>
      <c r="G10" s="4" t="s">
        <v>48</v>
      </c>
      <c r="H10" s="4">
        <f t="shared" si="1"/>
        <v>125</v>
      </c>
      <c r="I10" s="8" t="s">
        <v>14</v>
      </c>
      <c r="J10" s="8" t="s">
        <v>15</v>
      </c>
    </row>
    <row r="11" ht="22.5" customHeight="1">
      <c r="A11" s="3">
        <v>10.0</v>
      </c>
      <c r="B11" s="4" t="s">
        <v>49</v>
      </c>
      <c r="C11" s="4" t="s">
        <v>50</v>
      </c>
      <c r="D11" s="4" t="s">
        <v>51</v>
      </c>
      <c r="E11" s="6">
        <v>45225.84375</v>
      </c>
      <c r="F11" s="4" t="s">
        <v>24</v>
      </c>
      <c r="G11" s="4" t="s">
        <v>25</v>
      </c>
      <c r="H11" s="4">
        <f t="shared" si="1"/>
        <v>0</v>
      </c>
      <c r="I11" s="8" t="s">
        <v>26</v>
      </c>
      <c r="J11" s="8" t="s">
        <v>27</v>
      </c>
    </row>
  </sheetData>
  <dataValidations>
    <dataValidation type="list" allowBlank="1" showDropDown="1" showErrorMessage="1" sqref="I2:I11">
      <formula1>"Online,Cash,Pending"</formula1>
    </dataValidation>
    <dataValidation type="list" allowBlank="1" showDropDown="1" showErrorMessage="1" sqref="J2:J11">
      <formula1>"Exited,Parked"</formula1>
    </dataValidation>
    <dataValidation type="custom" allowBlank="1" showDropDown="1" sqref="E2:E11">
      <formula1>OR(NOT(ISERROR(DATEVALUE(E2))), AND(ISNUMBER(E2), LEFT(CELL("format", E2))="D"))</formula1>
    </dataValidation>
    <dataValidation type="custom" allowBlank="1" showDropDown="1" sqref="A2:A11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52</v>
      </c>
      <c r="B1" s="9" t="s">
        <v>53</v>
      </c>
      <c r="C1" s="10"/>
    </row>
    <row r="2">
      <c r="A2" s="11" t="s">
        <v>54</v>
      </c>
      <c r="B2" s="11">
        <v>0.0</v>
      </c>
      <c r="C2" s="10"/>
    </row>
    <row r="3">
      <c r="A3" s="11" t="s">
        <v>55</v>
      </c>
      <c r="B3" s="11">
        <v>0.0</v>
      </c>
      <c r="C3" s="10"/>
    </row>
    <row r="4">
      <c r="A4" s="11" t="s">
        <v>56</v>
      </c>
      <c r="B4" s="11">
        <v>0.0</v>
      </c>
      <c r="C4" s="10"/>
    </row>
    <row r="5">
      <c r="A5" s="11" t="s">
        <v>57</v>
      </c>
      <c r="B5" s="11">
        <v>0.0</v>
      </c>
      <c r="C5" s="10"/>
    </row>
    <row r="6">
      <c r="A6" s="11" t="s">
        <v>58</v>
      </c>
      <c r="B6" s="11">
        <v>0.0</v>
      </c>
      <c r="C6" s="10"/>
    </row>
    <row r="7">
      <c r="A7" s="11" t="s">
        <v>59</v>
      </c>
      <c r="B7" s="11">
        <v>0.0</v>
      </c>
      <c r="C7" s="10"/>
    </row>
    <row r="8">
      <c r="A8" s="11" t="s">
        <v>60</v>
      </c>
      <c r="B8" s="11">
        <v>0.0</v>
      </c>
      <c r="C8" s="10"/>
    </row>
    <row r="9">
      <c r="A9" s="11" t="s">
        <v>61</v>
      </c>
      <c r="B9" s="11">
        <v>0.0</v>
      </c>
      <c r="C9" s="10"/>
    </row>
    <row r="10">
      <c r="A10" s="11" t="s">
        <v>62</v>
      </c>
      <c r="B10" s="11">
        <v>1.0</v>
      </c>
      <c r="C10" s="10"/>
    </row>
    <row r="11">
      <c r="A11" s="11" t="s">
        <v>63</v>
      </c>
      <c r="B11" s="11">
        <v>2.0</v>
      </c>
      <c r="C11" s="10"/>
    </row>
    <row r="12">
      <c r="A12" s="11" t="s">
        <v>64</v>
      </c>
      <c r="B12" s="11">
        <v>4.0</v>
      </c>
      <c r="C12" s="10"/>
    </row>
    <row r="13">
      <c r="A13" s="11" t="s">
        <v>65</v>
      </c>
      <c r="B13" s="11">
        <v>4.0</v>
      </c>
      <c r="C13" s="10"/>
    </row>
    <row r="14">
      <c r="A14" s="11" t="s">
        <v>66</v>
      </c>
      <c r="B14" s="11">
        <v>5.0</v>
      </c>
      <c r="C14" s="10"/>
    </row>
    <row r="15">
      <c r="A15" s="11" t="s">
        <v>67</v>
      </c>
      <c r="B15" s="11">
        <v>5.0</v>
      </c>
      <c r="C15" s="10"/>
    </row>
    <row r="16">
      <c r="A16" s="11" t="s">
        <v>68</v>
      </c>
      <c r="B16" s="11">
        <v>4.0</v>
      </c>
      <c r="C16" s="10"/>
    </row>
    <row r="17">
      <c r="A17" s="11" t="s">
        <v>69</v>
      </c>
      <c r="B17" s="11">
        <v>5.0</v>
      </c>
      <c r="C17" s="10"/>
    </row>
    <row r="18">
      <c r="A18" s="11" t="s">
        <v>70</v>
      </c>
      <c r="B18" s="11">
        <v>5.0</v>
      </c>
      <c r="C18" s="10"/>
    </row>
    <row r="19">
      <c r="A19" s="11" t="s">
        <v>71</v>
      </c>
      <c r="B19" s="11">
        <v>4.0</v>
      </c>
      <c r="C19" s="10"/>
    </row>
    <row r="20">
      <c r="A20" s="11" t="s">
        <v>72</v>
      </c>
      <c r="B20" s="11">
        <v>4.0</v>
      </c>
      <c r="C20" s="10"/>
    </row>
    <row r="21">
      <c r="A21" s="11" t="s">
        <v>73</v>
      </c>
      <c r="B21" s="11">
        <v>3.0</v>
      </c>
      <c r="C21" s="10"/>
    </row>
    <row r="22">
      <c r="A22" s="11" t="s">
        <v>74</v>
      </c>
      <c r="B22" s="11">
        <v>4.0</v>
      </c>
      <c r="C22" s="10"/>
    </row>
    <row r="23">
      <c r="A23" s="11" t="s">
        <v>75</v>
      </c>
      <c r="B23" s="11">
        <v>5.0</v>
      </c>
      <c r="C23" s="10"/>
    </row>
    <row r="24">
      <c r="A24" s="11" t="s">
        <v>76</v>
      </c>
      <c r="B24" s="11">
        <v>5.0</v>
      </c>
      <c r="C24" s="10"/>
    </row>
    <row r="25">
      <c r="A25" s="11" t="s">
        <v>77</v>
      </c>
      <c r="B25" s="11">
        <v>5.0</v>
      </c>
      <c r="C25" s="10"/>
    </row>
  </sheetData>
  <drawing r:id="rId1"/>
</worksheet>
</file>